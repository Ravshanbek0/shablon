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ront end\Amaliyot\Shablon\use\"/>
    </mc:Choice>
  </mc:AlternateContent>
  <xr:revisionPtr revIDLastSave="0" documentId="13_ncr:1_{C3E1799F-9956-45A7-9BEE-39E3DF24F810}" xr6:coauthVersionLast="47" xr6:coauthVersionMax="47" xr10:uidLastSave="{00000000-0000-0000-0000-000000000000}"/>
  <bookViews>
    <workbookView xWindow="2856" yWindow="2184" windowWidth="17280" windowHeight="8964" xr2:uid="{64DD312C-E3FE-4788-AAC3-54FBFBC77CA6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7" i="1" l="1"/>
  <c r="B7" i="1"/>
  <c r="F7" i="1"/>
  <c r="G7" i="1"/>
  <c r="H7" i="1"/>
  <c r="E12" i="1" s="1"/>
  <c r="E7" i="1"/>
  <c r="C6" i="1"/>
  <c r="E6" i="1" s="1"/>
  <c r="F6" i="1"/>
  <c r="C5" i="1"/>
  <c r="E5" i="1" s="1"/>
  <c r="G5" i="1" s="1"/>
  <c r="F5" i="1"/>
  <c r="C4" i="1"/>
  <c r="E4" i="1" s="1"/>
  <c r="G4" i="1" s="1"/>
  <c r="H4" i="1" s="1"/>
  <c r="C3" i="1"/>
  <c r="F3" i="1" s="1"/>
  <c r="F2" i="1"/>
  <c r="C2" i="1"/>
  <c r="D11" i="1" l="1"/>
  <c r="E11" i="1"/>
  <c r="E13" i="1" s="1"/>
  <c r="G6" i="1"/>
  <c r="H6" i="1"/>
  <c r="E2" i="1"/>
  <c r="H5" i="1"/>
  <c r="F4" i="1"/>
  <c r="G2" i="1"/>
  <c r="E3" i="1"/>
  <c r="G3" i="1" s="1"/>
  <c r="H3" i="1" s="1"/>
  <c r="H2" i="1" l="1"/>
</calcChain>
</file>

<file path=xl/sharedStrings.xml><?xml version="1.0" encoding="utf-8"?>
<sst xmlns="http://schemas.openxmlformats.org/spreadsheetml/2006/main" count="25" uniqueCount="23">
  <si>
    <t xml:space="preserve">Shablon </t>
  </si>
  <si>
    <t>Website</t>
  </si>
  <si>
    <t>Narx</t>
  </si>
  <si>
    <t>Saytdagi narx</t>
  </si>
  <si>
    <t>Umumiy %</t>
  </si>
  <si>
    <t>Foyda</t>
  </si>
  <si>
    <t>Umumiy daromad</t>
  </si>
  <si>
    <t>Soliq</t>
  </si>
  <si>
    <t>Umumiy foyda</t>
  </si>
  <si>
    <t>app</t>
  </si>
  <si>
    <t>Kanal</t>
  </si>
  <si>
    <t>Jami:</t>
  </si>
  <si>
    <t>Bot</t>
  </si>
  <si>
    <t>Post,logo,Banner,Figma</t>
  </si>
  <si>
    <t>Investor:</t>
  </si>
  <si>
    <t>Ism</t>
  </si>
  <si>
    <t>Ulushi</t>
  </si>
  <si>
    <t>Lavozim</t>
  </si>
  <si>
    <t>Ravshanbek</t>
  </si>
  <si>
    <t>Shohjahon</t>
  </si>
  <si>
    <t>Frontchi,asoschi</t>
  </si>
  <si>
    <t>Ulushdagi summa</t>
  </si>
  <si>
    <t>Backendchi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</si>
</sst>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0" fillId="0" borderId="1" xfId="0" applyBorder="1"/>
    <xf numFmtId="0" fontId="1" fillId="0" borderId="1" xfId="0" applyFont="1" applyBorder="1" applyAlignment="1">
      <alignment horizontal="center"/>
    </xf>
    <xf numFmtId="9" fontId="0" fillId="0" borderId="1" xfId="0" applyNumberFormat="1" applyBorder="1"/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19456-1F1A-4C36-B598-B85E923E08ED}">
  <dimension ref="A1:H13"/>
  <sheetViews>
    <sheetView tabSelected="1" topLeftCell="A4" workbookViewId="0">
      <selection activeCell="G12" sqref="G12"/>
    </sheetView>
  </sheetViews>
  <sheetFormatPr defaultRowHeight="14.4" x14ac:dyDescent="0.3"/>
  <cols>
    <col min="1" max="1" width="20.21875" bestFit="1" customWidth="1"/>
    <col min="2" max="2" width="14.21875" bestFit="1" customWidth="1"/>
    <col min="3" max="3" width="12.33203125" bestFit="1" customWidth="1"/>
    <col min="4" max="4" width="12.88671875" bestFit="1" customWidth="1"/>
    <col min="5" max="5" width="16.109375" bestFit="1" customWidth="1"/>
    <col min="6" max="6" width="16.44140625" bestFit="1" customWidth="1"/>
    <col min="7" max="7" width="10.44140625" bestFit="1" customWidth="1"/>
    <col min="8" max="8" width="13.6640625" bestFit="1" customWidth="1"/>
  </cols>
  <sheetData>
    <row r="1" spans="1:8" x14ac:dyDescent="0.3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x14ac:dyDescent="0.3">
      <c r="A2" s="2" t="s">
        <v>1</v>
      </c>
      <c r="B2" s="2">
        <v>500000</v>
      </c>
      <c r="C2" s="2">
        <f>B2+(B2/100*D2)</f>
        <v>600000</v>
      </c>
      <c r="D2" s="2">
        <v>20</v>
      </c>
      <c r="E2" s="2">
        <f>C2-B2</f>
        <v>100000</v>
      </c>
      <c r="F2" s="2">
        <f>C2</f>
        <v>600000</v>
      </c>
      <c r="G2" s="2">
        <f>E2*0.12</f>
        <v>12000</v>
      </c>
      <c r="H2" s="2">
        <f>E2-G2</f>
        <v>88000</v>
      </c>
    </row>
    <row r="3" spans="1:8" x14ac:dyDescent="0.3">
      <c r="A3" s="2" t="s">
        <v>13</v>
      </c>
      <c r="B3" s="2">
        <v>50000</v>
      </c>
      <c r="C3" s="2">
        <f>B3+(B3/100*D3)</f>
        <v>62500</v>
      </c>
      <c r="D3" s="2">
        <v>25</v>
      </c>
      <c r="E3" s="2">
        <f>C3-B3</f>
        <v>12500</v>
      </c>
      <c r="F3" s="2">
        <f>C3</f>
        <v>62500</v>
      </c>
      <c r="G3" s="2">
        <f>E3*0.12</f>
        <v>1500</v>
      </c>
      <c r="H3" s="2">
        <f>E3-G3</f>
        <v>11000</v>
      </c>
    </row>
    <row r="4" spans="1:8" x14ac:dyDescent="0.3">
      <c r="A4" s="2" t="s">
        <v>9</v>
      </c>
      <c r="B4" s="2">
        <v>2000000</v>
      </c>
      <c r="C4" s="2">
        <f>B4+(B4/100*D4)</f>
        <v>2300000</v>
      </c>
      <c r="D4" s="2">
        <v>15</v>
      </c>
      <c r="E4" s="2">
        <f>C4-B4</f>
        <v>300000</v>
      </c>
      <c r="F4" s="2">
        <f>C4</f>
        <v>2300000</v>
      </c>
      <c r="G4" s="2">
        <f>E4*0.12</f>
        <v>36000</v>
      </c>
      <c r="H4" s="2">
        <f>E4-G4</f>
        <v>264000</v>
      </c>
    </row>
    <row r="5" spans="1:8" x14ac:dyDescent="0.3">
      <c r="A5" s="2" t="s">
        <v>10</v>
      </c>
      <c r="B5" s="2">
        <v>8000000</v>
      </c>
      <c r="C5" s="2">
        <f>B5+(B5/100*D5)</f>
        <v>9040000</v>
      </c>
      <c r="D5" s="2">
        <v>13</v>
      </c>
      <c r="E5" s="2">
        <f>C5-B5</f>
        <v>1040000</v>
      </c>
      <c r="F5" s="2">
        <f>C5</f>
        <v>9040000</v>
      </c>
      <c r="G5" s="2">
        <f>E5*0.12</f>
        <v>124800</v>
      </c>
      <c r="H5" s="2">
        <f>E5-G5</f>
        <v>915200</v>
      </c>
    </row>
    <row r="6" spans="1:8" x14ac:dyDescent="0.3">
      <c r="A6" s="2" t="s">
        <v>12</v>
      </c>
      <c r="B6" s="2">
        <v>600000</v>
      </c>
      <c r="C6" s="2">
        <f>B6+(B6/100*D6)</f>
        <v>690000</v>
      </c>
      <c r="D6" s="2">
        <v>15</v>
      </c>
      <c r="E6" s="2">
        <f>C6-B6</f>
        <v>90000</v>
      </c>
      <c r="F6" s="2">
        <f>C6</f>
        <v>690000</v>
      </c>
      <c r="G6" s="2">
        <f>E6*0.12</f>
        <v>10800</v>
      </c>
      <c r="H6" s="2">
        <f>E6-G6</f>
        <v>79200</v>
      </c>
    </row>
    <row r="7" spans="1:8" x14ac:dyDescent="0.3">
      <c r="A7" s="1" t="s">
        <v>11</v>
      </c>
      <c r="B7" s="1">
        <f>SUM(B2:B6)</f>
        <v>11150000</v>
      </c>
      <c r="C7" s="1">
        <f>SUM(C2:C6)</f>
        <v>12692500</v>
      </c>
      <c r="D7" s="1"/>
      <c r="E7" s="1">
        <f>SUM(E2:E6)</f>
        <v>1542500</v>
      </c>
      <c r="F7" s="1">
        <f t="shared" ref="F7:H7" si="0">SUM(F2:F6)</f>
        <v>12692500</v>
      </c>
      <c r="G7" s="1">
        <f t="shared" si="0"/>
        <v>185100</v>
      </c>
      <c r="H7" s="1">
        <f t="shared" si="0"/>
        <v>1357400</v>
      </c>
    </row>
    <row r="9" spans="1:8" x14ac:dyDescent="0.3">
      <c r="A9" s="3" t="s">
        <v>14</v>
      </c>
      <c r="B9" s="3"/>
      <c r="C9" s="3"/>
      <c r="D9" s="3"/>
      <c r="E9" s="2"/>
    </row>
    <row r="10" spans="1:8" x14ac:dyDescent="0.3">
      <c r="A10" s="1" t="s">
        <v>15</v>
      </c>
      <c r="B10" s="1" t="s">
        <v>17</v>
      </c>
      <c r="C10" s="1" t="s">
        <v>16</v>
      </c>
      <c r="D10" s="1" t="s">
        <v>8</v>
      </c>
      <c r="E10" s="1" t="s">
        <v>21</v>
      </c>
    </row>
    <row r="11" spans="1:8" x14ac:dyDescent="0.3">
      <c r="A11" s="2" t="s">
        <v>18</v>
      </c>
      <c r="B11" s="2" t="s">
        <v>20</v>
      </c>
      <c r="C11" s="4">
        <v>0.7</v>
      </c>
      <c r="D11" s="5">
        <f>H7</f>
        <v>1357400</v>
      </c>
      <c r="E11" s="2">
        <f>H7*0.7</f>
        <v>950179.99999999988</v>
      </c>
    </row>
    <row r="12" spans="1:8" x14ac:dyDescent="0.3">
      <c r="A12" s="2" t="s">
        <v>19</v>
      </c>
      <c r="B12" s="2" t="s">
        <v>22</v>
      </c>
      <c r="C12" s="4">
        <v>0.3</v>
      </c>
      <c r="D12" s="6"/>
      <c r="E12" s="2">
        <f>H7*0.3</f>
        <v>407220</v>
      </c>
    </row>
    <row r="13" spans="1:8" x14ac:dyDescent="0.3">
      <c r="A13" s="1" t="s">
        <v>11</v>
      </c>
      <c r="B13" s="2"/>
      <c r="C13" s="2"/>
      <c r="D13" s="7"/>
      <c r="E13" s="1">
        <f>SUM(E11:E12)</f>
        <v>1357400</v>
      </c>
    </row>
  </sheetData>
  <mergeCells count="2">
    <mergeCell ref="A9:D9"/>
    <mergeCell ref="D11:D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2025-01-01T17:49:42Z</dcterms:created>
  <dcterms:modified xsi:type="dcterms:W3CDTF">2025-01-02T13:17:24Z</dcterms:modified>
</cp:coreProperties>
</file>